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nyl-my.sharepoint.com/personal/amaldonadof_mnyl_com_mx/Documents/Prophet/Registros de modelo/"/>
    </mc:Choice>
  </mc:AlternateContent>
  <xr:revisionPtr revIDLastSave="26" documentId="8_{54946425-FB1D-4885-9967-EF9C19A79DA0}" xr6:coauthVersionLast="47" xr6:coauthVersionMax="47" xr10:uidLastSave="{BEE469EB-8438-4A07-9012-AD70D09CA815}"/>
  <bookViews>
    <workbookView xWindow="28680" yWindow="-120" windowWidth="29040" windowHeight="15840" xr2:uid="{B3114DB3-E3C7-4743-BA68-72C5A89F6B54}"/>
  </bookViews>
  <sheets>
    <sheet name="Descripcion_General" sheetId="1" r:id="rId1"/>
    <sheet name="Detalle Runs" sheetId="5" r:id="rId2"/>
    <sheet name="Variables criticas" sheetId="6" r:id="rId3"/>
    <sheet name="Conocimiento_Tecnico" sheetId="7" r:id="rId4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<sst xmlns="http://schemas.openxmlformats.org/spreadsheetml/2006/main" count="360" uniqueCount="177">
  <si>
    <t>Area</t>
  </si>
  <si>
    <t>Proceso</t>
  </si>
  <si>
    <t>Encargado</t>
  </si>
  <si>
    <t>Ruta del modelo</t>
  </si>
  <si>
    <t>Corridas</t>
  </si>
  <si>
    <t>Contabilidad</t>
  </si>
  <si>
    <t>Periodo de acutalizacion</t>
  </si>
  <si>
    <t>Reporta</t>
  </si>
  <si>
    <t>Descripcion</t>
  </si>
  <si>
    <t>Variables involucradas</t>
  </si>
  <si>
    <t>Supuestos que se actualizan</t>
  </si>
  <si>
    <t>Frecuencia de actualizacion</t>
  </si>
  <si>
    <t>Insumo</t>
  </si>
  <si>
    <t>Area encargada</t>
  </si>
  <si>
    <t>Tiempo de ejecucion</t>
  </si>
  <si>
    <t>Rentabilidad</t>
  </si>
  <si>
    <t>VNB</t>
  </si>
  <si>
    <t>Francisco Carmona</t>
  </si>
  <si>
    <t>,33,34,36,37,38,39,41,42,44,46,47,48,49,51,52, 57,67, 70,133,134,136, 137,139, 144, 146, 147, 148, 149,57,167,170</t>
  </si>
  <si>
    <t>stat</t>
  </si>
  <si>
    <t>Trimestral</t>
  </si>
  <si>
    <t>NBM</t>
  </si>
  <si>
    <t>PV(Utilidades)/FY Prem</t>
  </si>
  <si>
    <t>PROF_SOLVM (GROSS_TRAN_MEX para ALM)</t>
  </si>
  <si>
    <t>Margen de riesgo</t>
  </si>
  <si>
    <t>Consulta en AWS para actualizar BEL_Risk_Margin.fac</t>
  </si>
  <si>
    <t>Reservas</t>
  </si>
  <si>
    <t>40 min</t>
  </si>
  <si>
    <t>NEW_ANN_PREM</t>
  </si>
  <si>
    <t>Tasas</t>
  </si>
  <si>
    <t>BEL_Interest.fac, BE_Interest_rate.fac, Scenario.fac</t>
  </si>
  <si>
    <t>Inversiones</t>
  </si>
  <si>
    <t>MOD_DMPIN_IF</t>
  </si>
  <si>
    <t>Requerimiento de Capital de Solvencia</t>
  </si>
  <si>
    <t>Factores por producto para actualizar la tabla SCR_Factors.fac</t>
  </si>
  <si>
    <t>Riesgos</t>
  </si>
  <si>
    <t>PM</t>
  </si>
  <si>
    <t>PV(Tasa de la cartera,Utilidades)/PV(Tasa de la cartera, Prima)</t>
  </si>
  <si>
    <t>PROF_SOLVM</t>
  </si>
  <si>
    <t>Model Points</t>
  </si>
  <si>
    <t>Anual</t>
  </si>
  <si>
    <t>Model Points .gvl</t>
  </si>
  <si>
    <t>Alejandro Rosales</t>
  </si>
  <si>
    <t>PREM_INC+MOD_DMPIN_IF</t>
  </si>
  <si>
    <t>Ventas Prophet</t>
  </si>
  <si>
    <t>Tabla Sales SALES_SMNYL.fac</t>
  </si>
  <si>
    <t>Business Plan</t>
  </si>
  <si>
    <t>DISC_A_PC  (PORT_RET_Y_PC(2) para ALM)</t>
  </si>
  <si>
    <t>Reinsurance</t>
  </si>
  <si>
    <t>BE Reinsurance Cost.fac</t>
  </si>
  <si>
    <t>IRR</t>
  </si>
  <si>
    <t>IRR(Utilidades/FY Prem)</t>
  </si>
  <si>
    <t>Surr_DPU_ETI</t>
  </si>
  <si>
    <t>SURR_DPU_ETI.fac</t>
  </si>
  <si>
    <t>Inflacion</t>
  </si>
  <si>
    <t>Archivo en excel Economic Assumptions para actualizar Inflation Rate Assumptions.fac</t>
  </si>
  <si>
    <t>Tablas NIL</t>
  </si>
  <si>
    <t>Model Points: 
CPGLAH.gvl
CPIAC1.gvl
CPIHE1.gvl
cpsmgl.gvl
Tablas:
BE_Reinsurance Cost_NIL.fac
Best Estimate_BP_NIL.fac
Best Estimate_NBV_NIL.fac
Best Estimate Bonus NIL.fac
Best Estimate Expense after 2000_NIL.fac
Commission_NIL.fac
GPGLAH.fac
CPIAC1.fac
CPIHE1.fac
CPSMGL.fac
Inflation Rate Assumptions_NIL.fac
RBC and CMS Grouping_NIL.fac
Required Surplus_Base_NIL.fac
Rider_Cost_NIL.fac
SALES_SMNYL_TOTAL.fac
Valuation Premium Factors STAT-NIL.fac
Archivo de excel:
Balances_IBNR para actualizar Inflation Rate Assumptions.fac</t>
  </si>
  <si>
    <t>Tablas de gasto</t>
  </si>
  <si>
    <t>Tablas:
Best Estimate Expense after 2000.fac
Best Estimate Expense after 2000_del.fac
Best Estimate Expense UL.fac
Best Estimate Expense UL_del.fac</t>
  </si>
  <si>
    <t>Supuestos de caducidad</t>
  </si>
  <si>
    <t>Tablas:
Best Estimate Lapse APL.fac
Best Estimate Lapse ETI.fac
Best Estimate Lapse UL.fac</t>
  </si>
  <si>
    <t>Supuestos</t>
  </si>
  <si>
    <t>Supuesto de Retiros parciales</t>
  </si>
  <si>
    <t>Partial Surrender.fac</t>
  </si>
  <si>
    <t>Supuesto de dumpin</t>
  </si>
  <si>
    <t>Dumpin Premium Factor.fac</t>
  </si>
  <si>
    <t xml:space="preserve">Suspension rate </t>
  </si>
  <si>
    <t>Suspension Rate Factor (Complement).fac</t>
  </si>
  <si>
    <t>Run</t>
  </si>
  <si>
    <t>Detalle</t>
  </si>
  <si>
    <t>Corrida Precedente</t>
  </si>
  <si>
    <t>Es ALM?</t>
  </si>
  <si>
    <t>Outputs Principales</t>
  </si>
  <si>
    <t>Variables criticas</t>
  </si>
  <si>
    <t>Inputs</t>
  </si>
  <si>
    <t>Area a quien se pide</t>
  </si>
  <si>
    <t>¿Qué se actualiza en el modelo?</t>
  </si>
  <si>
    <t>Responsable</t>
  </si>
  <si>
    <t>IL UDI y USD</t>
  </si>
  <si>
    <t>Na</t>
  </si>
  <si>
    <t>No</t>
  </si>
  <si>
    <t>30 min</t>
  </si>
  <si>
    <t>NBM, PM, IRR</t>
  </si>
  <si>
    <t>BEL_Risk_Margin.fac</t>
  </si>
  <si>
    <t>Orvi Pesos</t>
  </si>
  <si>
    <t>Si</t>
  </si>
  <si>
    <t>10 min</t>
  </si>
  <si>
    <t>BEL_Interest.fac 
BE_Interest_rate.fac
Scenario.fac
Fund Growth Rates.fac</t>
  </si>
  <si>
    <t>AVES Pesos</t>
  </si>
  <si>
    <t>PREM_INC</t>
  </si>
  <si>
    <t>SCR_Factors.fac</t>
  </si>
  <si>
    <t>DISC_A_PC</t>
  </si>
  <si>
    <t>PV_ME_PRM_DIV_A</t>
  </si>
  <si>
    <t>SALES_SMNYL.fac</t>
  </si>
  <si>
    <t>START_ME_PRVS_D_A</t>
  </si>
  <si>
    <t>GROSS_TRAN_MEX</t>
  </si>
  <si>
    <t>PORT_RET_Y_PC(2)</t>
  </si>
  <si>
    <t>Inflation Rate Assumptions.fac</t>
  </si>
  <si>
    <t>Corrida</t>
  </si>
  <si>
    <t>Variable</t>
  </si>
  <si>
    <t>Formula</t>
  </si>
  <si>
    <t>Veriables precedentes</t>
  </si>
  <si>
    <t>Responsable de la informacion</t>
  </si>
  <si>
    <t>Documentaicon</t>
  </si>
  <si>
    <t>Variables dependientes</t>
  </si>
  <si>
    <t>PREM_INC-DEATH_OUTGO-SURR_OUTGO-EXPENSES-RVA</t>
  </si>
  <si>
    <t>DEATH_OUTGO</t>
  </si>
  <si>
    <t>Nunca</t>
  </si>
  <si>
    <t>SURR_OUTGO</t>
  </si>
  <si>
    <t>EXPENSES</t>
  </si>
  <si>
    <t>RVA</t>
  </si>
  <si>
    <t>margen de riesgo+inc_rva</t>
  </si>
  <si>
    <t>trimestral</t>
  </si>
  <si>
    <t>Profit Allowing for Solvency Margin</t>
  </si>
  <si>
    <t>Profit (t) + Solv_Int(t) - Inc_sol_marg(t) - Tax_Solvm(t)</t>
  </si>
  <si>
    <t>Annual Premium per Policy for FY NB</t>
  </si>
  <si>
    <t>Ann_Prem_PP(t) * No_new_pols</t>
  </si>
  <si>
    <t>Total Premium Income</t>
  </si>
  <si>
    <t>BSC_prem_inc</t>
  </si>
  <si>
    <t>Annual Risk Discount Rate A</t>
  </si>
  <si>
    <t>UFII_PC</t>
  </si>
  <si>
    <t>PV Prem to Month Em at Rate A</t>
  </si>
  <si>
    <t>Conocimiento en Prophet</t>
  </si>
  <si>
    <t>Francisco Garcia Carmona</t>
  </si>
  <si>
    <t>Cynthia Flores Valiente</t>
  </si>
  <si>
    <t>Juan Carlos Magallanes</t>
  </si>
  <si>
    <t>Navegación en el Workspace</t>
  </si>
  <si>
    <t>BASICO</t>
  </si>
  <si>
    <t>AVANZADO</t>
  </si>
  <si>
    <t>NO CONOCE</t>
  </si>
  <si>
    <t>Ejecutar corridas base</t>
  </si>
  <si>
    <t>Concepto de run structure y run Setting</t>
  </si>
  <si>
    <t>Configuración de run settings</t>
  </si>
  <si>
    <t>INTERMEDIO</t>
  </si>
  <si>
    <t>Edición de tablas existentes</t>
  </si>
  <si>
    <t>Estructura de tablas</t>
  </si>
  <si>
    <t>Creación de tablas</t>
  </si>
  <si>
    <t>Creación de nuevas corridas</t>
  </si>
  <si>
    <t>Correr un poliza (1 perfil y venta)</t>
  </si>
  <si>
    <t>Tablas de propiedades (Best Estimate, Table Name)</t>
  </si>
  <si>
    <t>Seguimiento de variables</t>
  </si>
  <si>
    <t>Librería ALM</t>
  </si>
  <si>
    <t>Modificación de código</t>
  </si>
  <si>
    <t>Implementación de nuevos productos</t>
  </si>
  <si>
    <t>¿Por qué?</t>
  </si>
  <si>
    <t>¿Haz modelado alguna vez algún producto?</t>
  </si>
  <si>
    <t>SI</t>
  </si>
  <si>
    <t>NO</t>
  </si>
  <si>
    <t>Hay términos que a veces se dificultan en inglés</t>
  </si>
  <si>
    <t>Acumulaciones (estructura, creación y uso)</t>
  </si>
  <si>
    <t>Tablas globales (Entendimiento y edición)</t>
  </si>
  <si>
    <t>Estructura del modelo (levels, dependencias)</t>
  </si>
  <si>
    <t>Productos Same_AS (entendimiento y duplicar)</t>
  </si>
  <si>
    <t>Uso de librerías</t>
  </si>
  <si>
    <t>Tipos de variables y su comportamiento</t>
  </si>
  <si>
    <t>Definición y lógica de construcción de variables</t>
  </si>
  <si>
    <t>¿Es una limitante que los cursos sean en inglés?</t>
  </si>
  <si>
    <t>MPFiles (manejo)</t>
  </si>
  <si>
    <t>Entendimiento de jerarquías en el modelo</t>
  </si>
  <si>
    <t>Conocimiento sobre tablas escenciales de suspuestos</t>
  </si>
  <si>
    <t>Interacción de variables con tablas de supuestos</t>
  </si>
  <si>
    <t>Conocimiento acerca de run settings/structures dinámicas</t>
  </si>
  <si>
    <t>Que problema ataca</t>
  </si>
  <si>
    <t xml:space="preserve">Obtiene a rentabilidad de venta nueva por cada producto </t>
  </si>
  <si>
    <t>Same as</t>
  </si>
  <si>
    <t>U_977U</t>
  </si>
  <si>
    <t>UL</t>
  </si>
  <si>
    <t>PRODUCTOS UL</t>
  </si>
  <si>
    <t>PRODUCTOS C_SMNYL</t>
  </si>
  <si>
    <t>Grupo de productos</t>
  </si>
  <si>
    <t>Área responsable del modelo</t>
  </si>
  <si>
    <t>Proceso correspondiente al modelo</t>
  </si>
  <si>
    <t>Responsable del modelo</t>
  </si>
  <si>
    <t>Corridas que se ejecutan</t>
  </si>
  <si>
    <t>Periodicidad de actualización del modelo</t>
  </si>
  <si>
    <t>Indicadores de rentabilidad reportados por el 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</si>
</sst>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/>
    <xf numFmtId="0" fontId="1" fillId="3" borderId="0" xfId="0" applyFont="1" applyFill="1" applyBorder="1"/>
    <xf numFmtId="0" fontId="0" fillId="0" borderId="0" xfId="0" applyBorder="1"/>
    <xf numFmtId="0" fontId="0" fillId="2" borderId="0" xfId="0" applyFill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</cellXfs>
  <cellStyles count="1">
    <cellStyle name="Normal" xfId="0" builtinId="0"/>
  </cellStyles>
  <dxfs count="25">
    <dxf>
      <font>
        <color theme="9"/>
      </font>
      <fill>
        <patternFill>
          <bgColor theme="9" tint="0.79998168889431442"/>
        </patternFill>
      </fill>
    </dxf>
    <dxf>
      <font>
        <color rgb="FFCC0000"/>
      </font>
      <fill>
        <patternFill>
          <bgColor rgb="FFFF9999"/>
        </patternFill>
      </fill>
    </dxf>
    <dxf>
      <font>
        <color rgb="FFFFCC00"/>
      </font>
      <fill>
        <patternFill>
          <bgColor rgb="FFFFFF9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FF0000"/>
      </font>
      <fill>
        <patternFill>
          <bgColor rgb="FFFF999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999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C00000"/>
      </font>
      <fill>
        <patternFill>
          <bgColor rgb="FFFF9999"/>
        </patternFill>
      </fill>
    </dxf>
    <dxf>
      <fill>
        <patternFill>
          <bgColor theme="9"/>
        </patternFill>
      </fill>
    </dxf>
    <dxf>
      <fill>
        <patternFill>
          <bgColor rgb="FFFF505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999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CC0000"/>
      </font>
      <fill>
        <patternFill>
          <bgColor rgb="FFFF9999"/>
        </patternFill>
      </fill>
    </dxf>
    <dxf>
      <font>
        <color rgb="FFFFCC00"/>
      </font>
      <fill>
        <patternFill>
          <bgColor rgb="FFFFFF9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FFFF99"/>
      <color rgb="FFFF9999"/>
      <color rgb="FFFF5050"/>
      <color rgb="FFFFCC00"/>
      <color rgb="FFFF9900"/>
      <color rgb="FFCC000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50762-945D-48D6-B83E-B882E8ECD77A}">
  <dimension ref="A2:Q17"/>
  <sheetViews>
    <sheetView tabSelected="1" topLeftCell="F1" zoomScale="80" zoomScaleNormal="80" workbookViewId="0">
      <selection activeCell="K12" sqref="K12"/>
    </sheetView>
  </sheetViews>
  <sheetFormatPr defaultColWidth="8.77734375" defaultRowHeight="15" customHeight="1" x14ac:dyDescent="0.3"/>
  <cols>
    <col min="2" max="2" width="15.77734375" customWidth="1"/>
    <col min="3" max="3" width="17.77734375" customWidth="1"/>
    <col min="4" max="4" width="16.77734375" customWidth="1"/>
    <col min="5" max="5" width="50.21875" bestFit="1" customWidth="1"/>
    <col min="6" max="6" width="105.21875" bestFit="1" customWidth="1"/>
    <col min="7" max="7" width="55.21875" customWidth="1"/>
    <col min="8" max="8" width="21.21875" bestFit="1" customWidth="1"/>
    <col min="10" max="10" width="52.21875" bestFit="1" customWidth="1"/>
    <col min="11" max="11" width="38.77734375" bestFit="1" customWidth="1"/>
    <col min="12" max="12" width="23.77734375" bestFit="1" customWidth="1"/>
    <col min="13" max="13" width="27.77734375" customWidth="1"/>
    <col min="14" max="14" width="48.77734375" bestFit="1" customWidth="1"/>
    <col min="15" max="15" width="18.21875" customWidth="1"/>
    <col min="16" max="16" width="18.77734375" bestFit="1" customWidth="1"/>
    <col min="17" max="17" width="18.44140625" bestFit="1" customWidth="1"/>
  </cols>
  <sheetData>
    <row r="2" spans="1:17" s="3" customFormat="1" ht="14.4" x14ac:dyDescent="0.3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163</v>
      </c>
    </row>
    <row r="3" spans="1:17" s="10" customFormat="1" ht="14.4" x14ac:dyDescent="0.3">
      <c r="B3" s="10" t="s">
        <v>171</v>
      </c>
      <c r="C3" s="10" t="s">
        <v>172</v>
      </c>
      <c r="D3" s="10" t="s">
        <v>173</v>
      </c>
      <c r="F3" s="10" t="s">
        <v>174</v>
      </c>
      <c r="H3" s="10" t="s">
        <v>175</v>
      </c>
      <c r="I3" s="10" t="s">
        <v>176</v>
      </c>
      <c r="J3" s="10" t="s">
        <v>101</v>
      </c>
      <c r="K3" s="10" t="s">
        <v>9</v>
      </c>
    </row>
    <row r="4" spans="1:17" s="11" customFormat="1" ht="14.4" x14ac:dyDescent="0.3">
      <c r="A4" s="9"/>
      <c r="B4" s="11" t="s">
        <v>15</v>
      </c>
      <c r="C4" s="11" t="s">
        <v>16</v>
      </c>
      <c r="D4" s="11" t="s">
        <v>17</v>
      </c>
      <c r="E4" s="12"/>
      <c r="F4" s="11" t="s">
        <v>18</v>
      </c>
      <c r="G4" s="11" t="s">
        <v>19</v>
      </c>
      <c r="H4" s="11" t="s">
        <v>20</v>
      </c>
      <c r="I4" s="13" t="s">
        <v>21</v>
      </c>
      <c r="J4" s="14" t="s">
        <v>22</v>
      </c>
      <c r="K4" s="11" t="s">
        <v>23</v>
      </c>
      <c r="L4" s="11" t="s">
        <v>24</v>
      </c>
      <c r="M4" s="11" t="s">
        <v>20</v>
      </c>
      <c r="N4" s="11" t="s">
        <v>25</v>
      </c>
      <c r="O4" s="11" t="s">
        <v>26</v>
      </c>
      <c r="P4" s="11" t="s">
        <v>27</v>
      </c>
      <c r="Q4" s="11" t="s">
        <v>164</v>
      </c>
    </row>
    <row r="5" spans="1:17" s="11" customFormat="1" ht="14.4" x14ac:dyDescent="0.3">
      <c r="I5" s="13"/>
      <c r="J5" s="14"/>
      <c r="K5" s="11" t="s">
        <v>28</v>
      </c>
      <c r="L5" s="11" t="s">
        <v>29</v>
      </c>
      <c r="M5" s="11" t="s">
        <v>20</v>
      </c>
      <c r="N5" s="11" t="s">
        <v>30</v>
      </c>
      <c r="O5" s="11" t="s">
        <v>31</v>
      </c>
      <c r="P5" s="11" t="s">
        <v>27</v>
      </c>
    </row>
    <row r="6" spans="1:17" s="11" customFormat="1" ht="14.4" x14ac:dyDescent="0.3">
      <c r="I6" s="15"/>
      <c r="J6" s="14"/>
      <c r="K6" s="11" t="s">
        <v>32</v>
      </c>
      <c r="L6" s="11" t="s">
        <v>33</v>
      </c>
      <c r="M6" s="11" t="s">
        <v>20</v>
      </c>
      <c r="N6" s="11" t="s">
        <v>34</v>
      </c>
      <c r="O6" s="11" t="s">
        <v>35</v>
      </c>
      <c r="P6" s="11" t="s">
        <v>27</v>
      </c>
    </row>
    <row r="7" spans="1:17" s="11" customFormat="1" ht="14.4" x14ac:dyDescent="0.3">
      <c r="I7" s="7" t="s">
        <v>36</v>
      </c>
      <c r="J7" s="7" t="s">
        <v>37</v>
      </c>
      <c r="K7" s="11" t="s">
        <v>38</v>
      </c>
      <c r="L7" s="11" t="s">
        <v>39</v>
      </c>
      <c r="M7" s="11" t="s">
        <v>40</v>
      </c>
      <c r="N7" s="11" t="s">
        <v>41</v>
      </c>
      <c r="O7" s="11" t="s">
        <v>42</v>
      </c>
      <c r="P7" s="11" t="s">
        <v>27</v>
      </c>
    </row>
    <row r="8" spans="1:17" ht="14.4" x14ac:dyDescent="0.3">
      <c r="I8" s="7"/>
      <c r="J8" s="7"/>
      <c r="K8" t="s">
        <v>43</v>
      </c>
      <c r="L8" t="s">
        <v>44</v>
      </c>
      <c r="M8" t="s">
        <v>40</v>
      </c>
      <c r="N8" t="s">
        <v>45</v>
      </c>
      <c r="O8" t="s">
        <v>46</v>
      </c>
      <c r="P8" t="s">
        <v>27</v>
      </c>
    </row>
    <row r="9" spans="1:17" ht="14.4" x14ac:dyDescent="0.3">
      <c r="I9" s="7"/>
      <c r="J9" s="7"/>
      <c r="K9" t="s">
        <v>47</v>
      </c>
      <c r="L9" t="s">
        <v>48</v>
      </c>
      <c r="M9" t="s">
        <v>40</v>
      </c>
      <c r="N9" t="s">
        <v>49</v>
      </c>
      <c r="O9" t="s">
        <v>46</v>
      </c>
      <c r="P9" t="s">
        <v>27</v>
      </c>
    </row>
    <row r="10" spans="1:17" ht="14.4" x14ac:dyDescent="0.3">
      <c r="I10" s="2" t="s">
        <v>50</v>
      </c>
      <c r="J10" t="s">
        <v>51</v>
      </c>
      <c r="K10" t="s">
        <v>23</v>
      </c>
      <c r="L10" t="s">
        <v>52</v>
      </c>
      <c r="M10" t="s">
        <v>40</v>
      </c>
      <c r="N10" t="s">
        <v>53</v>
      </c>
      <c r="O10" t="s">
        <v>46</v>
      </c>
      <c r="P10" t="s">
        <v>27</v>
      </c>
    </row>
    <row r="11" spans="1:17" ht="14.4" x14ac:dyDescent="0.3">
      <c r="L11" t="s">
        <v>54</v>
      </c>
      <c r="M11" t="s">
        <v>40</v>
      </c>
      <c r="N11" t="s">
        <v>55</v>
      </c>
      <c r="O11" t="s">
        <v>31</v>
      </c>
      <c r="P11" t="s">
        <v>27</v>
      </c>
    </row>
    <row r="12" spans="1:17" ht="388.8" x14ac:dyDescent="0.3">
      <c r="L12" t="s">
        <v>56</v>
      </c>
      <c r="M12" t="s">
        <v>40</v>
      </c>
      <c r="N12" s="4" t="s">
        <v>57</v>
      </c>
      <c r="O12" t="s">
        <v>15</v>
      </c>
      <c r="P12" t="s">
        <v>27</v>
      </c>
    </row>
    <row r="13" spans="1:17" ht="72" x14ac:dyDescent="0.3">
      <c r="L13" t="s">
        <v>58</v>
      </c>
      <c r="M13" t="s">
        <v>40</v>
      </c>
      <c r="N13" s="4" t="s">
        <v>59</v>
      </c>
      <c r="O13" t="s">
        <v>15</v>
      </c>
      <c r="P13" t="s">
        <v>27</v>
      </c>
    </row>
    <row r="14" spans="1:17" ht="57.6" x14ac:dyDescent="0.3">
      <c r="L14" t="s">
        <v>60</v>
      </c>
      <c r="M14" t="s">
        <v>40</v>
      </c>
      <c r="N14" s="4" t="s">
        <v>61</v>
      </c>
      <c r="O14" t="s">
        <v>62</v>
      </c>
      <c r="P14" t="s">
        <v>27</v>
      </c>
    </row>
    <row r="15" spans="1:17" ht="14.4" x14ac:dyDescent="0.3">
      <c r="L15" t="s">
        <v>63</v>
      </c>
      <c r="M15" t="s">
        <v>40</v>
      </c>
      <c r="N15" s="4" t="s">
        <v>64</v>
      </c>
      <c r="O15" t="s">
        <v>62</v>
      </c>
      <c r="P15" t="s">
        <v>27</v>
      </c>
    </row>
    <row r="16" spans="1:17" ht="14.4" x14ac:dyDescent="0.3">
      <c r="L16" t="s">
        <v>65</v>
      </c>
      <c r="M16" t="s">
        <v>40</v>
      </c>
      <c r="N16" s="4" t="s">
        <v>66</v>
      </c>
      <c r="O16" t="s">
        <v>62</v>
      </c>
      <c r="P16" t="s">
        <v>27</v>
      </c>
    </row>
    <row r="17" spans="12:16" ht="14.4" x14ac:dyDescent="0.3">
      <c r="L17" t="s">
        <v>67</v>
      </c>
      <c r="M17" t="s">
        <v>40</v>
      </c>
      <c r="N17" s="4" t="s">
        <v>68</v>
      </c>
      <c r="O17" t="s">
        <v>62</v>
      </c>
      <c r="P17" t="s">
        <v>27</v>
      </c>
    </row>
  </sheetData>
  <mergeCells count="4">
    <mergeCell ref="I4:I5"/>
    <mergeCell ref="I7:I9"/>
    <mergeCell ref="J7:J9"/>
    <mergeCell ref="J4:J6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AF6D1-3FEF-4AEA-9D01-F46142C73017}">
  <dimension ref="A2:L16"/>
  <sheetViews>
    <sheetView zoomScale="69" workbookViewId="0">
      <selection activeCell="L11" sqref="L11"/>
    </sheetView>
  </sheetViews>
  <sheetFormatPr defaultColWidth="8.77734375" defaultRowHeight="14.4" x14ac:dyDescent="0.3"/>
  <cols>
    <col min="2" max="2" width="11.44140625" bestFit="1" customWidth="1"/>
    <col min="3" max="3" width="17.21875" bestFit="1" customWidth="1"/>
    <col min="4" max="4" width="17.21875" customWidth="1"/>
    <col min="5" max="5" width="18" bestFit="1" customWidth="1"/>
    <col min="6" max="6" width="17.44140625" bestFit="1" customWidth="1"/>
    <col min="7" max="7" width="20.5546875" bestFit="1" customWidth="1"/>
    <col min="8" max="8" width="19.5546875" customWidth="1"/>
    <col min="9" max="9" width="20.44140625" customWidth="1"/>
    <col min="10" max="10" width="26.21875" customWidth="1"/>
    <col min="11" max="11" width="27.21875" customWidth="1"/>
    <col min="12" max="12" width="16.21875" customWidth="1"/>
  </cols>
  <sheetData>
    <row r="2" spans="1:12" s="3" customFormat="1" ht="15" thickBot="1" x14ac:dyDescent="0.35">
      <c r="A2" s="3" t="s">
        <v>69</v>
      </c>
      <c r="B2" s="3" t="s">
        <v>70</v>
      </c>
      <c r="C2" s="3" t="s">
        <v>71</v>
      </c>
      <c r="D2" s="3" t="s">
        <v>72</v>
      </c>
      <c r="E2" s="3" t="s">
        <v>14</v>
      </c>
      <c r="F2" s="3" t="s">
        <v>73</v>
      </c>
      <c r="G2" s="3" t="s">
        <v>74</v>
      </c>
      <c r="H2" s="3" t="s">
        <v>75</v>
      </c>
      <c r="I2" s="3" t="s">
        <v>76</v>
      </c>
      <c r="J2" s="3" t="s">
        <v>11</v>
      </c>
      <c r="K2" s="3" t="s">
        <v>77</v>
      </c>
      <c r="L2" s="3" t="s">
        <v>78</v>
      </c>
    </row>
    <row r="3" spans="1:12" x14ac:dyDescent="0.3">
      <c r="A3">
        <v>33</v>
      </c>
      <c r="B3" t="s">
        <v>79</v>
      </c>
      <c r="C3" t="s">
        <v>80</v>
      </c>
      <c r="D3" t="s">
        <v>81</v>
      </c>
      <c r="E3" t="s">
        <v>82</v>
      </c>
      <c r="F3" t="s">
        <v>83</v>
      </c>
      <c r="G3" t="s">
        <v>38</v>
      </c>
      <c r="H3" t="s">
        <v>24</v>
      </c>
      <c r="I3" t="s">
        <v>26</v>
      </c>
      <c r="J3" t="s">
        <v>20</v>
      </c>
      <c r="K3" t="s">
        <v>84</v>
      </c>
      <c r="L3" t="s">
        <v>17</v>
      </c>
    </row>
    <row r="4" spans="1:12" ht="57.6" x14ac:dyDescent="0.3">
      <c r="A4">
        <v>44</v>
      </c>
      <c r="B4" t="s">
        <v>85</v>
      </c>
      <c r="C4">
        <v>34</v>
      </c>
      <c r="D4" t="s">
        <v>86</v>
      </c>
      <c r="E4" t="s">
        <v>87</v>
      </c>
      <c r="F4" t="s">
        <v>83</v>
      </c>
      <c r="G4" t="s">
        <v>28</v>
      </c>
      <c r="H4" t="s">
        <v>29</v>
      </c>
      <c r="I4" t="s">
        <v>31</v>
      </c>
      <c r="J4" t="s">
        <v>20</v>
      </c>
      <c r="K4" s="4" t="s">
        <v>88</v>
      </c>
      <c r="L4" t="s">
        <v>17</v>
      </c>
    </row>
    <row r="5" spans="1:12" x14ac:dyDescent="0.3">
      <c r="A5">
        <v>46</v>
      </c>
      <c r="B5" t="s">
        <v>89</v>
      </c>
      <c r="C5">
        <v>36</v>
      </c>
      <c r="D5" t="s">
        <v>86</v>
      </c>
      <c r="G5" t="s">
        <v>90</v>
      </c>
      <c r="H5" t="s">
        <v>33</v>
      </c>
      <c r="I5" t="s">
        <v>35</v>
      </c>
      <c r="J5" t="s">
        <v>20</v>
      </c>
      <c r="K5" t="s">
        <v>91</v>
      </c>
      <c r="L5" t="s">
        <v>17</v>
      </c>
    </row>
    <row r="6" spans="1:12" x14ac:dyDescent="0.3">
      <c r="A6">
        <v>47</v>
      </c>
      <c r="G6" t="s">
        <v>92</v>
      </c>
      <c r="H6" t="s">
        <v>39</v>
      </c>
      <c r="I6" t="s">
        <v>42</v>
      </c>
      <c r="J6" t="s">
        <v>40</v>
      </c>
      <c r="K6" t="s">
        <v>41</v>
      </c>
      <c r="L6" t="s">
        <v>17</v>
      </c>
    </row>
    <row r="7" spans="1:12" x14ac:dyDescent="0.3">
      <c r="A7">
        <v>48</v>
      </c>
      <c r="G7" t="s">
        <v>93</v>
      </c>
      <c r="H7" t="s">
        <v>44</v>
      </c>
      <c r="I7" t="s">
        <v>46</v>
      </c>
      <c r="J7" t="s">
        <v>40</v>
      </c>
      <c r="K7" t="s">
        <v>94</v>
      </c>
      <c r="L7" t="s">
        <v>17</v>
      </c>
    </row>
    <row r="8" spans="1:12" x14ac:dyDescent="0.3">
      <c r="G8" t="s">
        <v>95</v>
      </c>
      <c r="H8" t="s">
        <v>48</v>
      </c>
      <c r="I8" t="s">
        <v>46</v>
      </c>
      <c r="J8" t="s">
        <v>40</v>
      </c>
      <c r="K8" t="s">
        <v>49</v>
      </c>
      <c r="L8" t="s">
        <v>17</v>
      </c>
    </row>
    <row r="9" spans="1:12" x14ac:dyDescent="0.3">
      <c r="G9" t="s">
        <v>96</v>
      </c>
      <c r="H9" t="s">
        <v>52</v>
      </c>
      <c r="I9" t="s">
        <v>46</v>
      </c>
      <c r="J9" t="s">
        <v>40</v>
      </c>
      <c r="K9" t="s">
        <v>53</v>
      </c>
      <c r="L9" t="s">
        <v>17</v>
      </c>
    </row>
    <row r="10" spans="1:12" x14ac:dyDescent="0.3">
      <c r="G10" t="s">
        <v>97</v>
      </c>
      <c r="H10" t="s">
        <v>54</v>
      </c>
      <c r="I10" t="s">
        <v>31</v>
      </c>
      <c r="J10" t="s">
        <v>40</v>
      </c>
      <c r="K10" t="s">
        <v>98</v>
      </c>
      <c r="L10" t="s">
        <v>17</v>
      </c>
    </row>
    <row r="11" spans="1:12" ht="409.6" x14ac:dyDescent="0.3">
      <c r="H11" t="s">
        <v>56</v>
      </c>
      <c r="I11" t="s">
        <v>15</v>
      </c>
      <c r="J11" t="s">
        <v>40</v>
      </c>
      <c r="K11" s="4" t="s">
        <v>57</v>
      </c>
      <c r="L11" t="s">
        <v>17</v>
      </c>
    </row>
    <row r="12" spans="1:12" ht="115.2" x14ac:dyDescent="0.3">
      <c r="H12" t="s">
        <v>58</v>
      </c>
      <c r="I12" t="s">
        <v>15</v>
      </c>
      <c r="J12" t="s">
        <v>40</v>
      </c>
      <c r="K12" s="4" t="s">
        <v>59</v>
      </c>
      <c r="L12" t="s">
        <v>17</v>
      </c>
    </row>
    <row r="13" spans="1:12" ht="57.6" x14ac:dyDescent="0.3">
      <c r="H13" t="s">
        <v>60</v>
      </c>
      <c r="I13" t="s">
        <v>62</v>
      </c>
      <c r="J13" t="s">
        <v>40</v>
      </c>
      <c r="K13" s="4" t="s">
        <v>61</v>
      </c>
      <c r="L13" t="s">
        <v>17</v>
      </c>
    </row>
    <row r="14" spans="1:12" x14ac:dyDescent="0.3">
      <c r="H14" t="s">
        <v>63</v>
      </c>
      <c r="I14" t="s">
        <v>62</v>
      </c>
      <c r="J14" t="s">
        <v>40</v>
      </c>
      <c r="K14" s="4" t="s">
        <v>64</v>
      </c>
      <c r="L14" t="s">
        <v>17</v>
      </c>
    </row>
    <row r="15" spans="1:12" x14ac:dyDescent="0.3">
      <c r="H15" t="s">
        <v>65</v>
      </c>
      <c r="I15" t="s">
        <v>62</v>
      </c>
      <c r="J15" t="s">
        <v>40</v>
      </c>
      <c r="K15" s="4" t="s">
        <v>66</v>
      </c>
      <c r="L15" t="s">
        <v>17</v>
      </c>
    </row>
    <row r="16" spans="1:12" ht="28.8" x14ac:dyDescent="0.3">
      <c r="H16" t="s">
        <v>67</v>
      </c>
      <c r="I16" t="s">
        <v>62</v>
      </c>
      <c r="J16" t="s">
        <v>40</v>
      </c>
      <c r="K16" s="4" t="s">
        <v>68</v>
      </c>
      <c r="L16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E2E8-9A9D-4DA7-9649-C8BBEF6632CD}">
  <dimension ref="A1:O23"/>
  <sheetViews>
    <sheetView topLeftCell="B1" workbookViewId="0">
      <selection activeCell="F12" sqref="F12"/>
    </sheetView>
  </sheetViews>
  <sheetFormatPr defaultColWidth="8.77734375" defaultRowHeight="14.4" x14ac:dyDescent="0.3"/>
  <cols>
    <col min="2" max="2" width="20" bestFit="1" customWidth="1"/>
    <col min="3" max="3" width="30.5546875" customWidth="1"/>
    <col min="4" max="4" width="20.21875" customWidth="1"/>
    <col min="5" max="6" width="30.5546875" customWidth="1"/>
    <col min="7" max="7" width="32.21875" customWidth="1"/>
    <col min="8" max="9" width="30.5546875" customWidth="1"/>
    <col min="10" max="10" width="32.21875" customWidth="1"/>
    <col min="11" max="11" width="20.21875" customWidth="1"/>
    <col min="12" max="12" width="19.21875" customWidth="1"/>
    <col min="13" max="13" width="27.21875" bestFit="1" customWidth="1"/>
    <col min="14" max="14" width="14.44140625" bestFit="1" customWidth="1"/>
    <col min="15" max="15" width="20.77734375" bestFit="1" customWidth="1"/>
  </cols>
  <sheetData>
    <row r="1" spans="1:15" ht="15" thickBot="1" x14ac:dyDescent="0.35">
      <c r="E1" s="16" t="s">
        <v>168</v>
      </c>
      <c r="F1" s="17"/>
      <c r="G1" s="18"/>
      <c r="H1" s="16" t="s">
        <v>169</v>
      </c>
      <c r="I1" s="17"/>
      <c r="J1" s="18"/>
    </row>
    <row r="2" spans="1:15" s="3" customFormat="1" ht="15" thickBot="1" x14ac:dyDescent="0.35">
      <c r="A2" s="3" t="s">
        <v>99</v>
      </c>
      <c r="B2" s="3" t="s">
        <v>100</v>
      </c>
      <c r="C2" s="3" t="s">
        <v>8</v>
      </c>
      <c r="D2" s="3" t="s">
        <v>102</v>
      </c>
      <c r="E2" s="3" t="s">
        <v>165</v>
      </c>
      <c r="F2" s="3" t="s">
        <v>170</v>
      </c>
      <c r="G2" s="3" t="s">
        <v>101</v>
      </c>
      <c r="H2" s="3" t="s">
        <v>165</v>
      </c>
      <c r="I2" s="3" t="s">
        <v>170</v>
      </c>
      <c r="J2" s="3" t="s">
        <v>101</v>
      </c>
      <c r="L2" s="3" t="s">
        <v>11</v>
      </c>
      <c r="M2" s="3" t="s">
        <v>103</v>
      </c>
      <c r="N2" s="3" t="s">
        <v>104</v>
      </c>
      <c r="O2" s="3" t="s">
        <v>105</v>
      </c>
    </row>
    <row r="3" spans="1:15" x14ac:dyDescent="0.3">
      <c r="A3">
        <v>33</v>
      </c>
      <c r="B3" t="s">
        <v>38</v>
      </c>
      <c r="D3" t="s">
        <v>90</v>
      </c>
      <c r="E3" t="s">
        <v>166</v>
      </c>
      <c r="F3" t="s">
        <v>167</v>
      </c>
      <c r="G3" t="s">
        <v>106</v>
      </c>
      <c r="H3" t="s">
        <v>166</v>
      </c>
      <c r="I3" t="s">
        <v>167</v>
      </c>
      <c r="J3" t="s">
        <v>106</v>
      </c>
      <c r="L3" t="s">
        <v>40</v>
      </c>
      <c r="M3" t="s">
        <v>46</v>
      </c>
    </row>
    <row r="4" spans="1:15" x14ac:dyDescent="0.3">
      <c r="D4" t="s">
        <v>107</v>
      </c>
      <c r="L4" t="s">
        <v>108</v>
      </c>
      <c r="M4" t="s">
        <v>62</v>
      </c>
    </row>
    <row r="5" spans="1:15" x14ac:dyDescent="0.3">
      <c r="D5" t="s">
        <v>109</v>
      </c>
      <c r="L5" t="s">
        <v>40</v>
      </c>
      <c r="M5" t="s">
        <v>62</v>
      </c>
    </row>
    <row r="6" spans="1:15" x14ac:dyDescent="0.3">
      <c r="D6" t="s">
        <v>110</v>
      </c>
      <c r="L6" t="s">
        <v>40</v>
      </c>
      <c r="M6" t="s">
        <v>15</v>
      </c>
    </row>
    <row r="7" spans="1:15" x14ac:dyDescent="0.3">
      <c r="D7" t="s">
        <v>111</v>
      </c>
    </row>
    <row r="8" spans="1:15" x14ac:dyDescent="0.3">
      <c r="B8" t="s">
        <v>111</v>
      </c>
      <c r="G8" t="s">
        <v>112</v>
      </c>
      <c r="J8" t="s">
        <v>112</v>
      </c>
      <c r="L8" t="s">
        <v>113</v>
      </c>
    </row>
    <row r="14" spans="1:15" x14ac:dyDescent="0.3">
      <c r="B14" t="s">
        <v>38</v>
      </c>
      <c r="C14" t="s">
        <v>114</v>
      </c>
      <c r="G14" t="s">
        <v>115</v>
      </c>
      <c r="J14" t="s">
        <v>115</v>
      </c>
    </row>
    <row r="17" spans="2:10" x14ac:dyDescent="0.3">
      <c r="B17" t="s">
        <v>28</v>
      </c>
      <c r="C17" t="s">
        <v>116</v>
      </c>
      <c r="G17" t="s">
        <v>117</v>
      </c>
      <c r="J17" t="s">
        <v>117</v>
      </c>
    </row>
    <row r="18" spans="2:10" x14ac:dyDescent="0.3">
      <c r="B18" t="s">
        <v>90</v>
      </c>
      <c r="C18" t="s">
        <v>118</v>
      </c>
      <c r="G18" t="s">
        <v>119</v>
      </c>
      <c r="J18" t="s">
        <v>119</v>
      </c>
    </row>
    <row r="19" spans="2:10" x14ac:dyDescent="0.3">
      <c r="B19" t="s">
        <v>92</v>
      </c>
      <c r="C19" t="s">
        <v>120</v>
      </c>
      <c r="G19" t="s">
        <v>121</v>
      </c>
      <c r="J19" t="s">
        <v>121</v>
      </c>
    </row>
    <row r="20" spans="2:10" x14ac:dyDescent="0.3">
      <c r="B20" t="s">
        <v>93</v>
      </c>
      <c r="C20" t="s">
        <v>122</v>
      </c>
    </row>
    <row r="21" spans="2:10" x14ac:dyDescent="0.3">
      <c r="B21" t="s">
        <v>95</v>
      </c>
    </row>
    <row r="22" spans="2:10" x14ac:dyDescent="0.3">
      <c r="B22" t="s">
        <v>96</v>
      </c>
    </row>
    <row r="23" spans="2:10" x14ac:dyDescent="0.3">
      <c r="B23" t="s">
        <v>97</v>
      </c>
    </row>
  </sheetData>
  <mergeCells count="2"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7A82-F76A-4657-88F4-E93871BEB47B}">
  <dimension ref="A1:E32"/>
  <sheetViews>
    <sheetView zoomScale="63" zoomScaleNormal="100" workbookViewId="0">
      <selection activeCell="C26" sqref="C26"/>
    </sheetView>
  </sheetViews>
  <sheetFormatPr defaultColWidth="8.77734375" defaultRowHeight="14.4" x14ac:dyDescent="0.3"/>
  <cols>
    <col min="1" max="1" width="12.21875" bestFit="1" customWidth="1"/>
    <col min="2" max="2" width="47.5546875" bestFit="1" customWidth="1"/>
    <col min="3" max="3" width="24.21875" bestFit="1" customWidth="1"/>
    <col min="4" max="4" width="22" bestFit="1" customWidth="1"/>
    <col min="5" max="5" width="21.77734375" bestFit="1" customWidth="1"/>
  </cols>
  <sheetData>
    <row r="1" spans="1:5" x14ac:dyDescent="0.3">
      <c r="C1" s="8" t="s">
        <v>0</v>
      </c>
      <c r="D1" s="8"/>
      <c r="E1" s="8"/>
    </row>
    <row r="2" spans="1:5" x14ac:dyDescent="0.3">
      <c r="A2" s="1" t="s">
        <v>123</v>
      </c>
      <c r="C2" s="7" t="s">
        <v>15</v>
      </c>
      <c r="D2" s="7"/>
      <c r="E2" s="7"/>
    </row>
    <row r="3" spans="1:5" s="1" customFormat="1" x14ac:dyDescent="0.3">
      <c r="C3" t="s">
        <v>124</v>
      </c>
      <c r="D3" t="s">
        <v>125</v>
      </c>
      <c r="E3" t="s">
        <v>126</v>
      </c>
    </row>
    <row r="4" spans="1:5" x14ac:dyDescent="0.3">
      <c r="B4" t="s">
        <v>127</v>
      </c>
      <c r="C4" t="s">
        <v>128</v>
      </c>
      <c r="D4" t="s">
        <v>129</v>
      </c>
      <c r="E4" t="s">
        <v>130</v>
      </c>
    </row>
    <row r="5" spans="1:5" x14ac:dyDescent="0.3">
      <c r="B5" t="s">
        <v>131</v>
      </c>
      <c r="C5" t="s">
        <v>147</v>
      </c>
      <c r="D5" t="s">
        <v>147</v>
      </c>
      <c r="E5" t="s">
        <v>147</v>
      </c>
    </row>
    <row r="6" spans="1:5" x14ac:dyDescent="0.3">
      <c r="B6" t="s">
        <v>132</v>
      </c>
      <c r="C6" t="s">
        <v>128</v>
      </c>
      <c r="D6" t="s">
        <v>129</v>
      </c>
      <c r="E6" t="s">
        <v>128</v>
      </c>
    </row>
    <row r="7" spans="1:5" x14ac:dyDescent="0.3">
      <c r="B7" t="s">
        <v>133</v>
      </c>
      <c r="C7" t="s">
        <v>130</v>
      </c>
      <c r="D7" t="s">
        <v>134</v>
      </c>
      <c r="E7" t="s">
        <v>128</v>
      </c>
    </row>
    <row r="8" spans="1:5" x14ac:dyDescent="0.3">
      <c r="B8" t="s">
        <v>135</v>
      </c>
      <c r="C8" t="s">
        <v>130</v>
      </c>
      <c r="D8" t="s">
        <v>129</v>
      </c>
      <c r="E8" t="s">
        <v>134</v>
      </c>
    </row>
    <row r="9" spans="1:5" x14ac:dyDescent="0.3">
      <c r="B9" t="s">
        <v>136</v>
      </c>
      <c r="C9" t="s">
        <v>130</v>
      </c>
      <c r="D9" t="s">
        <v>129</v>
      </c>
      <c r="E9" t="s">
        <v>128</v>
      </c>
    </row>
    <row r="10" spans="1:5" x14ac:dyDescent="0.3">
      <c r="B10" t="s">
        <v>137</v>
      </c>
      <c r="C10" t="s">
        <v>130</v>
      </c>
      <c r="D10" t="s">
        <v>134</v>
      </c>
      <c r="E10" t="s">
        <v>130</v>
      </c>
    </row>
    <row r="11" spans="1:5" x14ac:dyDescent="0.3">
      <c r="B11" t="s">
        <v>138</v>
      </c>
      <c r="C11" t="s">
        <v>130</v>
      </c>
      <c r="D11" t="s">
        <v>134</v>
      </c>
      <c r="E11" t="s">
        <v>130</v>
      </c>
    </row>
    <row r="12" spans="1:5" x14ac:dyDescent="0.3">
      <c r="B12" t="s">
        <v>139</v>
      </c>
      <c r="C12" t="s">
        <v>130</v>
      </c>
      <c r="D12" t="s">
        <v>129</v>
      </c>
      <c r="E12" t="s">
        <v>130</v>
      </c>
    </row>
    <row r="13" spans="1:5" x14ac:dyDescent="0.3">
      <c r="B13" t="s">
        <v>140</v>
      </c>
      <c r="C13" t="s">
        <v>130</v>
      </c>
      <c r="D13" t="s">
        <v>129</v>
      </c>
      <c r="E13" t="s">
        <v>128</v>
      </c>
    </row>
    <row r="14" spans="1:5" x14ac:dyDescent="0.3">
      <c r="B14" t="s">
        <v>141</v>
      </c>
      <c r="C14" t="s">
        <v>130</v>
      </c>
      <c r="D14" t="s">
        <v>129</v>
      </c>
      <c r="E14" t="s">
        <v>134</v>
      </c>
    </row>
    <row r="15" spans="1:5" x14ac:dyDescent="0.3">
      <c r="B15" t="s">
        <v>142</v>
      </c>
      <c r="C15" t="s">
        <v>130</v>
      </c>
      <c r="D15" t="s">
        <v>128</v>
      </c>
      <c r="E15" t="s">
        <v>130</v>
      </c>
    </row>
    <row r="16" spans="1:5" x14ac:dyDescent="0.3">
      <c r="B16" t="s">
        <v>143</v>
      </c>
      <c r="C16" t="s">
        <v>130</v>
      </c>
      <c r="D16" t="s">
        <v>129</v>
      </c>
      <c r="E16" t="s">
        <v>130</v>
      </c>
    </row>
    <row r="17" spans="2:5" x14ac:dyDescent="0.3">
      <c r="B17" t="s">
        <v>144</v>
      </c>
      <c r="C17" t="s">
        <v>130</v>
      </c>
      <c r="D17" t="s">
        <v>129</v>
      </c>
      <c r="E17" t="s">
        <v>130</v>
      </c>
    </row>
    <row r="18" spans="2:5" x14ac:dyDescent="0.3">
      <c r="B18" t="s">
        <v>146</v>
      </c>
      <c r="C18" t="s">
        <v>148</v>
      </c>
      <c r="D18" t="s">
        <v>148</v>
      </c>
      <c r="E18" t="s">
        <v>148</v>
      </c>
    </row>
    <row r="19" spans="2:5" x14ac:dyDescent="0.3">
      <c r="B19" t="s">
        <v>157</v>
      </c>
      <c r="C19" t="s">
        <v>148</v>
      </c>
      <c r="D19" t="s">
        <v>148</v>
      </c>
      <c r="E19" t="s">
        <v>147</v>
      </c>
    </row>
    <row r="20" spans="2:5" x14ac:dyDescent="0.3">
      <c r="B20" t="s">
        <v>145</v>
      </c>
      <c r="E20" t="s">
        <v>149</v>
      </c>
    </row>
    <row r="21" spans="2:5" x14ac:dyDescent="0.3">
      <c r="B21" t="s">
        <v>150</v>
      </c>
    </row>
    <row r="22" spans="2:5" ht="14.55" customHeight="1" x14ac:dyDescent="0.3">
      <c r="B22" t="s">
        <v>153</v>
      </c>
    </row>
    <row r="23" spans="2:5" x14ac:dyDescent="0.3">
      <c r="B23" t="s">
        <v>158</v>
      </c>
    </row>
    <row r="24" spans="2:5" x14ac:dyDescent="0.3">
      <c r="B24" t="s">
        <v>151</v>
      </c>
    </row>
    <row r="25" spans="2:5" x14ac:dyDescent="0.3">
      <c r="B25" t="s">
        <v>152</v>
      </c>
    </row>
    <row r="26" spans="2:5" x14ac:dyDescent="0.3">
      <c r="B26" t="s">
        <v>154</v>
      </c>
    </row>
    <row r="27" spans="2:5" x14ac:dyDescent="0.3">
      <c r="B27" t="s">
        <v>155</v>
      </c>
    </row>
    <row r="28" spans="2:5" x14ac:dyDescent="0.3">
      <c r="B28" t="s">
        <v>159</v>
      </c>
    </row>
    <row r="29" spans="2:5" x14ac:dyDescent="0.3">
      <c r="B29" t="s">
        <v>160</v>
      </c>
    </row>
    <row r="30" spans="2:5" x14ac:dyDescent="0.3">
      <c r="B30" t="s">
        <v>161</v>
      </c>
    </row>
    <row r="31" spans="2:5" x14ac:dyDescent="0.3">
      <c r="B31" s="6" t="s">
        <v>156</v>
      </c>
    </row>
    <row r="32" spans="2:5" x14ac:dyDescent="0.3">
      <c r="B32" s="5" t="s">
        <v>162</v>
      </c>
    </row>
  </sheetData>
  <mergeCells count="2">
    <mergeCell ref="C2:E2"/>
    <mergeCell ref="C1:E1"/>
  </mergeCells>
  <conditionalFormatting sqref="C4:E19">
    <cfRule type="expression" dxfId="24" priority="49">
      <formula>C4="AVANZADO"</formula>
    </cfRule>
    <cfRule type="expression" dxfId="23" priority="50">
      <formula>C4="BASICO"</formula>
    </cfRule>
    <cfRule type="expression" dxfId="22" priority="51">
      <formula>C4="NO CONOCE"</formula>
    </cfRule>
    <cfRule type="expression" dxfId="21" priority="52">
      <formula>C4="INTERMEDIO"</formula>
    </cfRule>
  </conditionalFormatting>
  <conditionalFormatting sqref="C5:E5">
    <cfRule type="cellIs" dxfId="20" priority="21" operator="equal">
      <formula>"No"</formula>
    </cfRule>
    <cfRule type="cellIs" dxfId="19" priority="22" operator="equal">
      <formula>"Si"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18" priority="24" operator="equal">
      <formula>"Si"</formula>
    </cfRule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17" priority="26" operator="equal">
      <formula>"No"</formula>
    </cfRule>
    <cfRule type="cellIs" dxfId="16" priority="27" operator="equal">
      <formula>"Si"</formula>
    </cfRule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15" priority="29" operator="equal">
      <formula>"Si"</formula>
    </cfRule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14" priority="44" operator="equal">
      <formula>"No"</formula>
    </cfRule>
    <cfRule type="cellIs" dxfId="13" priority="47" operator="equal">
      <formula>"Si"</formula>
    </cfRule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E19">
    <cfRule type="cellIs" dxfId="12" priority="31" operator="equal">
      <formula>"No"</formula>
    </cfRule>
    <cfRule type="cellIs" dxfId="11" priority="32" operator="equal">
      <formula>"Si"</formula>
    </cfRule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10" priority="34" operator="equal">
      <formula>"Si"</formula>
    </cfRule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9" priority="36" operator="equal">
      <formula>"No"</formula>
    </cfRule>
    <cfRule type="cellIs" dxfId="8" priority="37" operator="equal">
      <formula>"Si"</formula>
    </cfRule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7" priority="39" operator="equal">
      <formula>"Si"</formula>
    </cfRule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E19">
    <cfRule type="cellIs" dxfId="6" priority="41" operator="equal">
      <formula>"No"</formula>
    </cfRule>
    <cfRule type="cellIs" dxfId="5" priority="42" operator="equal">
      <formula>"Si"</formula>
    </cfRule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4" priority="45" operator="equal">
      <formula>"Si"</formula>
    </cfRule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:E32">
    <cfRule type="expression" dxfId="3" priority="1">
      <formula>C21="AVANZADO"</formula>
    </cfRule>
    <cfRule type="expression" dxfId="2" priority="2">
      <formula>C21="BASICO"</formula>
    </cfRule>
    <cfRule type="expression" dxfId="1" priority="3">
      <formula>C21="NO CONOCE"</formula>
    </cfRule>
    <cfRule type="expression" dxfId="0" priority="4">
      <formula>C21="INTERMEDIO"</formula>
    </cfRule>
  </conditionalFormatting>
  <dataValidations count="3">
    <dataValidation type="list" allowBlank="1" showInputMessage="1" showErrorMessage="1" sqref="F4:J6" xr:uid="{4664ACDE-4578-4FC1-B08D-1F877CDCF080}">
      <formula1>"TRUE,FALSE"</formula1>
    </dataValidation>
    <dataValidation type="list" allowBlank="1" showInputMessage="1" showErrorMessage="1" sqref="C4:E4 C6:E17 C21:E32" xr:uid="{2EEB08D0-2EEA-40B6-9080-7922F956E566}">
      <formula1>"NO CONOCE, BASICO, INTERMEDIO, AVANZADO"</formula1>
    </dataValidation>
    <dataValidation type="list" allowBlank="1" showInputMessage="1" showErrorMessage="1" sqref="C18:E19 C5:E5" xr:uid="{97D55279-5D77-4041-A346-CA039E421A52}">
      <formula1>"SI, NO"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c74fe6f-0d92-4c62-945f-f8ec1412e938}" enabled="0" method="" siteId="{dc74fe6f-0d92-4c62-945f-f8ec1412e93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Descripcion_General</vt:lpstr>
      <vt:lpstr>Detalle Runs</vt:lpstr>
      <vt:lpstr>Variables criticas</vt:lpstr>
      <vt:lpstr>Conocimiento_Tecnico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MALDONADO FERNANDEZ, AMERICA ALEJANDRA</dc:creator>
  <cp:keywords/>
  <dc:description/>
  <cp:lastModifiedBy>MALDONADO FERNANDEZ, AMERICA ALEJANDRA</cp:lastModifiedBy>
  <cp:revision/>
  <dcterms:created xsi:type="dcterms:W3CDTF">2026-04-17T14:57:01Z</dcterms:created>
  <dcterms:modified xsi:type="dcterms:W3CDTF">2026-05-12T19:04:34Z</dcterms:modified>
  <cp:category/>
  <cp:contentStatus/>
</cp:coreProperties>
</file>